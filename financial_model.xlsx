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Unit Economics" sheetId="2" state="visible" r:id="rId2"/>
    <sheet name="Monthly Model" sheetId="3" state="visible" r:id="rId3"/>
    <sheet name="Break-even" sheetId="4" state="visible" r:id="rId4"/>
    <sheet name="Kill Crite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EGP&quot;"/>
    <numFmt numFmtId="165" formatCode="0.0%"/>
    <numFmt numFmtId="166" formatCode="$#,##0"/>
    <numFmt numFmtId="167" formatCode="#,##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3864"/>
      <sz val="10"/>
    </font>
    <font>
      <i val="1"/>
      <color rgb="00808080"/>
      <sz val="9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164" fontId="0" fillId="4" borderId="1" pivotButton="0" quotePrefix="0" xfId="0"/>
    <xf numFmtId="0" fontId="3" fillId="0" borderId="0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5" fillId="0" borderId="0" pivotButton="0" quotePrefix="0" xfId="0"/>
    <xf numFmtId="164" fontId="0" fillId="6" borderId="1" pivotButton="0" quotePrefix="0" xfId="0"/>
    <xf numFmtId="164" fontId="4" fillId="6" borderId="1" pivotButton="0" quotePrefix="0" xfId="0"/>
    <xf numFmtId="0" fontId="4" fillId="3" borderId="0" applyAlignment="1" pivotButton="0" quotePrefix="0" xfId="0">
      <alignment horizontal="center"/>
    </xf>
    <xf numFmtId="166" fontId="4" fillId="6" borderId="1" pivotButton="0" quotePrefix="0" xfId="0"/>
    <xf numFmtId="167" fontId="4" fillId="6" borderId="1" pivotButton="0" quotePrefix="0" xfId="0"/>
    <xf numFmtId="167" fontId="0" fillId="6" borderId="1" pivotButton="0" quotePrefix="0" xfId="0"/>
    <xf numFmtId="165" fontId="4" fillId="3" borderId="0" pivotButton="0" quotePrefix="0" xfId="0"/>
    <xf numFmtId="164" fontId="4" fillId="0" borderId="0" pivotButton="0" quotePrefix="0" xfId="0"/>
    <xf numFmtId="3" fontId="0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4" fillId="3" borderId="0" pivotButton="0" quotePrefix="0" xfId="0"/>
    <xf numFmtId="165" fontId="0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34" customWidth="1" min="3" max="3"/>
  </cols>
  <sheetData>
    <row r="1" ht="22" customHeight="1">
      <c r="A1" s="1" t="inlineStr">
        <is>
          <t>Egypt 3D Print Platform — Assumptions (edit yellow/orange cells)</t>
        </is>
      </c>
    </row>
    <row r="3" ht="16" customHeight="1">
      <c r="A3" s="2" t="inlineStr">
        <is>
          <t>MACRO</t>
        </is>
      </c>
    </row>
    <row r="4">
      <c r="A4" t="inlineStr">
        <is>
          <t>FX rate (EGP per USD)</t>
        </is>
      </c>
      <c r="B4" s="3" t="n">
        <v>49</v>
      </c>
      <c r="C4" s="4" t="inlineStr">
        <is>
          <t>Volatile — verify before use</t>
        </is>
      </c>
    </row>
    <row r="5" ht="16" customHeight="1">
      <c r="A5" s="2" t="inlineStr">
        <is>
          <t>PER-JOB FULFILLMENT COST (owner-borne, not platform)</t>
        </is>
      </c>
    </row>
    <row r="6">
      <c r="A6" t="inlineStr">
        <is>
          <t>Avg job weight (g)</t>
        </is>
      </c>
      <c r="B6" s="5" t="n">
        <v>50</v>
      </c>
      <c r="C6" s="4" t="inlineStr">
        <is>
          <t>Representative B2B functional part</t>
        </is>
      </c>
    </row>
    <row r="7">
      <c r="A7" t="inlineStr">
        <is>
          <t>Material cost (EGP / g)</t>
        </is>
      </c>
      <c r="B7" s="3" t="n">
        <v>1.2</v>
      </c>
      <c r="C7" s="4" t="inlineStr">
        <is>
          <t>Local PLA/PETG — validate at purchase</t>
        </is>
      </c>
    </row>
    <row r="8">
      <c r="A8" t="inlineStr">
        <is>
          <t>Avg print time (hours)</t>
        </is>
      </c>
      <c r="B8" s="5" t="n">
        <v>4</v>
      </c>
      <c r="C8" s="4" t="inlineStr"/>
    </row>
    <row r="9">
      <c r="A9" t="inlineStr">
        <is>
          <t>Printer depreciation (EGP / hr)</t>
        </is>
      </c>
      <c r="B9" s="3" t="n">
        <v>25</v>
      </c>
      <c r="C9" s="4" t="inlineStr">
        <is>
          <t>Corrected: ~65-100k printer / 3000 hrs</t>
        </is>
      </c>
    </row>
    <row r="10">
      <c r="A10" t="inlineStr">
        <is>
          <t>Electricity (EGP / job)</t>
        </is>
      </c>
      <c r="B10" s="6" t="n">
        <v>4</v>
      </c>
      <c r="C10" s="4" t="inlineStr">
        <is>
          <t>Low EG residential tariff</t>
        </is>
      </c>
    </row>
    <row r="11">
      <c r="A11" t="inlineStr">
        <is>
          <t>Labor / handling (EGP / job)</t>
        </is>
      </c>
      <c r="B11" s="6" t="n">
        <v>20</v>
      </c>
      <c r="C11" s="4" t="inlineStr">
        <is>
          <t>Slice + setup + QC + pack</t>
        </is>
      </c>
    </row>
    <row r="12">
      <c r="A12" t="inlineStr">
        <is>
          <t>Packaging (EGP / job)</t>
        </is>
      </c>
      <c r="B12" s="6" t="n">
        <v>15</v>
      </c>
      <c r="C12" s="4" t="inlineStr"/>
    </row>
    <row r="13">
      <c r="A13" t="inlineStr">
        <is>
          <t>Failure allowance</t>
        </is>
      </c>
      <c r="B13" s="7" t="n">
        <v>0.12</v>
      </c>
      <c r="C13" s="4" t="inlineStr">
        <is>
          <t>Reprint provision — 12%</t>
        </is>
      </c>
    </row>
    <row r="14" ht="16" customHeight="1">
      <c r="A14" s="2" t="inlineStr">
        <is>
          <t>REVENUE LEVERS</t>
        </is>
      </c>
    </row>
    <row r="15">
      <c r="A15" t="inlineStr">
        <is>
          <t>B2B blended AOV (EGP)</t>
        </is>
      </c>
      <c r="B15" s="3" t="n">
        <v>1200</v>
      </c>
      <c r="C15" s="4" t="inlineStr">
        <is>
          <t>KEY UNKNOWN — measure from order 1</t>
        </is>
      </c>
    </row>
    <row r="16">
      <c r="A16" t="inlineStr">
        <is>
          <t>Platform take rate</t>
        </is>
      </c>
      <c r="B16" s="7" t="n">
        <v>0.2</v>
      </c>
      <c r="C16" s="4" t="inlineStr">
        <is>
          <t>Commission on GMV</t>
        </is>
      </c>
    </row>
    <row r="17">
      <c r="A17" t="inlineStr">
        <is>
          <t>Design attach rate</t>
        </is>
      </c>
      <c r="B17" s="7" t="n">
        <v>0.2</v>
      </c>
      <c r="C17" s="4" t="inlineStr">
        <is>
          <t>Share of orders that add design/CAD service</t>
        </is>
      </c>
    </row>
    <row r="18">
      <c r="A18" t="inlineStr">
        <is>
          <t>Design margin (EGP / attached job)</t>
        </is>
      </c>
      <c r="B18" s="6" t="n">
        <v>800</v>
      </c>
      <c r="C18" s="4" t="inlineStr">
        <is>
          <t>CAD repair / design-to-print — high margin</t>
        </is>
      </c>
    </row>
    <row r="19">
      <c r="A19" t="inlineStr">
        <is>
          <t>PSP fee on collected</t>
        </is>
      </c>
      <c r="B19" s="7" t="n">
        <v>0.025</v>
      </c>
      <c r="C19" s="4" t="inlineStr">
        <is>
          <t>Paymob blended; 0 for COD/InstaPay</t>
        </is>
      </c>
    </row>
    <row r="20">
      <c r="A20" t="inlineStr">
        <is>
          <t>Bosta shipping (EGP / order)</t>
        </is>
      </c>
      <c r="B20" s="6" t="n">
        <v>40</v>
      </c>
      <c r="C20" s="4" t="inlineStr">
        <is>
          <t>~15 EGP at 50+ orders/mo; add to quote or absorb</t>
        </is>
      </c>
    </row>
    <row r="21" ht="16" customHeight="1">
      <c r="A21" s="2" t="inlineStr">
        <is>
          <t>MONTHLY OVERHEAD</t>
        </is>
      </c>
    </row>
    <row r="22">
      <c r="A22" t="inlineStr">
        <is>
          <t>Fixed monthly overhead (EGP)</t>
        </is>
      </c>
      <c r="B22" s="6" t="n">
        <v>15000</v>
      </c>
      <c r="C22" s="4" t="inlineStr">
        <is>
          <t>Tools, WhatsApp API, hosting, misc</t>
        </is>
      </c>
    </row>
    <row r="23">
      <c r="A23" t="inlineStr">
        <is>
          <t>Founder draw (EGP)</t>
        </is>
      </c>
      <c r="B23" s="6" t="n">
        <v>0</v>
      </c>
      <c r="C23" s="4" t="inlineStr">
        <is>
          <t>Set &gt; 0 to test livable-wage break-even</t>
        </is>
      </c>
    </row>
    <row r="25">
      <c r="A25" s="8" t="inlineStr">
        <is>
          <t>Legend:</t>
        </is>
      </c>
    </row>
    <row r="26">
      <c r="A26" s="9" t="inlineStr">
        <is>
          <t>Yellow = editable assumption</t>
        </is>
      </c>
    </row>
    <row r="27">
      <c r="A27" s="10" t="inlineStr">
        <is>
          <t>Orange = needs local field validation</t>
        </is>
      </c>
    </row>
    <row r="28">
      <c r="A28" s="11" t="inlineStr">
        <is>
          <t>Green  = calculated (do not edit)</t>
        </is>
      </c>
    </row>
  </sheetData>
  <mergeCells count="5">
    <mergeCell ref="A1:C1"/>
    <mergeCell ref="A5:C5"/>
    <mergeCell ref="A14:C14"/>
    <mergeCell ref="A3:C3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0" customWidth="1" min="3" max="3"/>
  </cols>
  <sheetData>
    <row r="1" ht="22" customHeight="1">
      <c r="A1" s="1" t="inlineStr">
        <is>
          <t>Per-Order Unit Economics</t>
        </is>
      </c>
    </row>
    <row r="3" ht="16" customHeight="1">
      <c r="A3" s="2" t="inlineStr">
        <is>
          <t>OWNER-BORNE FULFILLMENT COST (what printer owner spends per job)</t>
        </is>
      </c>
    </row>
    <row r="4">
      <c r="A4" s="12" t="inlineStr">
        <is>
          <t>Material</t>
        </is>
      </c>
      <c r="B4" s="13">
        <f>Inputs!$B$6*Inputs!$B$7</f>
        <v/>
      </c>
    </row>
    <row r="5">
      <c r="A5" s="12" t="inlineStr">
        <is>
          <t>Depreciation</t>
        </is>
      </c>
      <c r="B5" s="13">
        <f>Inputs!$B$8*Inputs!$B$9</f>
        <v/>
      </c>
    </row>
    <row r="6">
      <c r="A6" s="12" t="inlineStr">
        <is>
          <t>Electricity</t>
        </is>
      </c>
      <c r="B6" s="13">
        <f>Inputs!$B$10</f>
        <v/>
      </c>
    </row>
    <row r="7">
      <c r="A7" s="12" t="inlineStr">
        <is>
          <t>Labor / handling</t>
        </is>
      </c>
      <c r="B7" s="13">
        <f>Inputs!$B$11</f>
        <v/>
      </c>
    </row>
    <row r="8">
      <c r="A8" s="12" t="inlineStr">
        <is>
          <t>Packaging</t>
        </is>
      </c>
      <c r="B8" s="13">
        <f>Inputs!$B$12</f>
        <v/>
      </c>
    </row>
    <row r="9">
      <c r="A9" s="12" t="inlineStr">
        <is>
          <t>Subtotal (pre-failure)</t>
        </is>
      </c>
      <c r="B9" s="13">
        <f>SUM('Unit Economics'!B4:B8)</f>
        <v/>
      </c>
    </row>
    <row r="10">
      <c r="A10" s="12" t="inlineStr">
        <is>
          <t>Failure allowance</t>
        </is>
      </c>
      <c r="B10" s="13">
        <f>'Unit Economics'!B9*Inputs!$B$13</f>
        <v/>
      </c>
    </row>
    <row r="11">
      <c r="A11" s="8" t="inlineStr">
        <is>
          <t>TOTAL FULFILLMENT COST</t>
        </is>
      </c>
      <c r="B11" s="14">
        <f>'Unit Economics'!B9+'Unit Economics'!B10</f>
        <v/>
      </c>
    </row>
    <row r="12" ht="16" customHeight="1">
      <c r="A12" s="2" t="inlineStr">
        <is>
          <t>PLATFORM ECONOMICS (what the platform earns per order)</t>
        </is>
      </c>
    </row>
    <row r="13">
      <c r="A13" s="12" t="inlineStr">
        <is>
          <t>Order AOV</t>
        </is>
      </c>
      <c r="B13" s="13">
        <f>Inputs!$B$15</f>
        <v/>
      </c>
    </row>
    <row r="14">
      <c r="A14" s="12" t="inlineStr">
        <is>
          <t>Platform commission</t>
        </is>
      </c>
      <c r="B14" s="13">
        <f>'Unit Economics'!B13*Inputs!$B$16</f>
        <v/>
      </c>
    </row>
    <row r="15">
      <c r="A15" s="12" t="inlineStr">
        <is>
          <t>minus PSP fee</t>
        </is>
      </c>
      <c r="B15" s="13">
        <f>-'Unit Economics'!B13*Inputs!$B$19</f>
        <v/>
      </c>
    </row>
    <row r="16">
      <c r="A16" s="8" t="inlineStr">
        <is>
          <t>Net margin — print only</t>
        </is>
      </c>
      <c r="B16" s="14">
        <f>'Unit Economics'!B14+'Unit Economics'!B15</f>
        <v/>
      </c>
    </row>
    <row r="17">
      <c r="A17" s="12" t="inlineStr">
        <is>
          <t>Owner net (AOV - commission - fulfillment)</t>
        </is>
      </c>
      <c r="B17" s="13">
        <f>'Unit Economics'!B13-'Unit Economics'!B14-'Unit Economics'!B11</f>
        <v/>
      </c>
    </row>
    <row r="18" ht="16" customHeight="1">
      <c r="A18" s="2" t="inlineStr">
        <is>
          <t>DESIGN SERVICE ADD-ON (when attached)</t>
        </is>
      </c>
    </row>
    <row r="19">
      <c r="A19" s="12" t="inlineStr">
        <is>
          <t>Design margin / attached job</t>
        </is>
      </c>
      <c r="B19" s="13">
        <f>Inputs!$B$18</f>
        <v/>
      </c>
    </row>
    <row r="20">
      <c r="A20" s="8" t="inlineStr">
        <is>
          <t>Blended margin / order (print + attach*design)</t>
        </is>
      </c>
      <c r="B20" s="14">
        <f>'Unit Economics'!B16+(Inputs!$B$17*'Unit Economics'!B19)</f>
        <v/>
      </c>
    </row>
    <row r="21">
      <c r="A21" s="4" t="inlineStr">
        <is>
          <t>This blended figure is what feeds the Monthly Model break-even.</t>
        </is>
      </c>
    </row>
  </sheetData>
  <mergeCells count="4">
    <mergeCell ref="A1:C1"/>
    <mergeCell ref="A18:C18"/>
    <mergeCell ref="A3:C3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Monthly P&amp;L — Conservative / Base / Optimistic</t>
        </is>
      </c>
    </row>
    <row r="3" ht="18" customHeight="1">
      <c r="A3" s="8" t="inlineStr">
        <is>
          <t>Line</t>
        </is>
      </c>
      <c r="B3" s="15" t="inlineStr">
        <is>
          <t>Conservative</t>
        </is>
      </c>
      <c r="C3" s="15" t="inlineStr">
        <is>
          <t>Base</t>
        </is>
      </c>
      <c r="D3" s="15" t="inlineStr">
        <is>
          <t>Optimistic</t>
        </is>
      </c>
    </row>
    <row r="4">
      <c r="A4" s="8" t="inlineStr">
        <is>
          <t>Print orders / month</t>
        </is>
      </c>
      <c r="B4" s="5" t="n">
        <v>40</v>
      </c>
      <c r="C4" s="5" t="n">
        <v>80</v>
      </c>
      <c r="D4" s="5" t="n">
        <v>150</v>
      </c>
    </row>
    <row r="5">
      <c r="A5" s="8" t="inlineStr">
        <is>
          <t>AOV override (EGP)</t>
        </is>
      </c>
      <c r="B5" s="6" t="n">
        <v>900</v>
      </c>
      <c r="C5" s="6" t="n">
        <v>1200</v>
      </c>
      <c r="D5" s="6" t="n">
        <v>1800</v>
      </c>
    </row>
    <row r="6">
      <c r="A6" s="12" t="inlineStr">
        <is>
          <t>Print GMV</t>
        </is>
      </c>
      <c r="B6" s="13">
        <f>B4*B5</f>
        <v/>
      </c>
      <c r="C6" s="13">
        <f>C4*C5</f>
        <v/>
      </c>
      <c r="D6" s="13">
        <f>D4*D5</f>
        <v/>
      </c>
    </row>
    <row r="7">
      <c r="A7" s="12" t="inlineStr">
        <is>
          <t>Platform commission (take-rate on GMV)</t>
        </is>
      </c>
      <c r="B7" s="13">
        <f>B6*Inputs!$B$16</f>
        <v/>
      </c>
      <c r="C7" s="13">
        <f>C6*Inputs!$B$16</f>
        <v/>
      </c>
      <c r="D7" s="13">
        <f>D6*Inputs!$B$16</f>
        <v/>
      </c>
    </row>
    <row r="8">
      <c r="A8" s="12" t="inlineStr">
        <is>
          <t>minus PSP fees</t>
        </is>
      </c>
      <c r="B8" s="13">
        <f>-B6*Inputs!$B$19</f>
        <v/>
      </c>
      <c r="C8" s="13">
        <f>-C6*Inputs!$B$19</f>
        <v/>
      </c>
      <c r="D8" s="13">
        <f>-D6*Inputs!$B$19</f>
        <v/>
      </c>
    </row>
    <row r="9">
      <c r="A9" s="12" t="inlineStr">
        <is>
          <t>Design revenue</t>
        </is>
      </c>
      <c r="B9" s="13">
        <f>B4*Inputs!$B$17*Inputs!$B$18</f>
        <v/>
      </c>
      <c r="C9" s="13">
        <f>C4*Inputs!$B$17*Inputs!$B$18</f>
        <v/>
      </c>
      <c r="D9" s="13">
        <f>D4*Inputs!$B$17*Inputs!$B$18</f>
        <v/>
      </c>
    </row>
    <row r="10">
      <c r="A10" s="8" t="inlineStr">
        <is>
          <t>GROSS CONTRIBUTION</t>
        </is>
      </c>
      <c r="B10" s="14">
        <f>B7+B8+B9</f>
        <v/>
      </c>
      <c r="C10" s="14">
        <f>C7+C8+C9</f>
        <v/>
      </c>
      <c r="D10" s="14">
        <f>D7+D8+D9</f>
        <v/>
      </c>
    </row>
    <row r="11">
      <c r="A11" s="12" t="inlineStr">
        <is>
          <t>Fixed overhead</t>
        </is>
      </c>
      <c r="B11" s="13">
        <f>-Inputs!$B$22</f>
        <v/>
      </c>
      <c r="C11" s="13">
        <f>-Inputs!$B$22</f>
        <v/>
      </c>
      <c r="D11" s="13">
        <f>-Inputs!$B$22</f>
        <v/>
      </c>
    </row>
    <row r="12">
      <c r="A12" s="12" t="inlineStr">
        <is>
          <t>Founder draw</t>
        </is>
      </c>
      <c r="B12" s="13">
        <f>-Inputs!$B$23</f>
        <v/>
      </c>
      <c r="C12" s="13">
        <f>-Inputs!$B$23</f>
        <v/>
      </c>
      <c r="D12" s="13">
        <f>-Inputs!$B$23</f>
        <v/>
      </c>
    </row>
    <row r="13">
      <c r="A13" s="8" t="inlineStr">
        <is>
          <t>NET PROFIT / MONTH (EGP)</t>
        </is>
      </c>
      <c r="B13" s="14">
        <f>B10+B11+B12</f>
        <v/>
      </c>
      <c r="C13" s="14">
        <f>C10+C11+C12</f>
        <v/>
      </c>
      <c r="D13" s="14">
        <f>D10+D11+D12</f>
        <v/>
      </c>
    </row>
    <row r="14">
      <c r="A14" s="8" t="inlineStr">
        <is>
          <t>NET PROFIT / MONTH (USD)</t>
        </is>
      </c>
      <c r="B14" s="16">
        <f>B13/Inputs!$B$4</f>
        <v/>
      </c>
      <c r="C14" s="16">
        <f>C13/Inputs!$B$4</f>
        <v/>
      </c>
      <c r="D14" s="16">
        <f>D13/Inputs!$B$4</f>
        <v/>
      </c>
    </row>
    <row r="15">
      <c r="A15" s="8" t="inlineStr">
        <is>
          <t>Annualized net (EGP)</t>
        </is>
      </c>
      <c r="B15" s="14">
        <f>B13*12</f>
        <v/>
      </c>
      <c r="C15" s="14">
        <f>C13*12</f>
        <v/>
      </c>
      <c r="D15" s="14">
        <f>D13*12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Break-even &amp; Sensitivity Grid</t>
        </is>
      </c>
    </row>
    <row r="3">
      <c r="A3" s="8" t="inlineStr">
        <is>
          <t>Blended margin / order (from Unit Economics)</t>
        </is>
      </c>
      <c r="B3" s="13">
        <f>'Unit Economics'!$B$20</f>
        <v/>
      </c>
    </row>
    <row r="4">
      <c r="A4" s="8" t="inlineStr">
        <is>
          <t>Monthly fixed costs (overhead + draw)</t>
        </is>
      </c>
      <c r="B4" s="13">
        <f>Inputs!$B$22+Inputs!$B$23</f>
        <v/>
      </c>
    </row>
    <row r="5">
      <c r="A5" s="8" t="inlineStr">
        <is>
          <t>BREAK-EVEN orders / month</t>
        </is>
      </c>
      <c r="B5" s="17">
        <f>B4/B3</f>
        <v/>
      </c>
    </row>
    <row r="6">
      <c r="A6" t="inlineStr">
        <is>
          <t>Break-even orders / day (26 working days)</t>
        </is>
      </c>
      <c r="B6" s="18">
        <f>B5/26</f>
        <v/>
      </c>
    </row>
    <row r="8">
      <c r="A8" s="2" t="inlineStr">
        <is>
          <t>Sensitivity: break-even orders/month</t>
        </is>
      </c>
    </row>
    <row r="9">
      <c r="A9" s="8" t="inlineStr">
        <is>
          <t>AOV \ Take-rate →</t>
        </is>
      </c>
      <c r="B9" s="19" t="n">
        <v>0.15</v>
      </c>
      <c r="C9" s="19" t="n">
        <v>0.2</v>
      </c>
      <c r="D9" s="19" t="n">
        <v>0.25</v>
      </c>
      <c r="E9" s="19" t="n">
        <v>0.3</v>
      </c>
    </row>
    <row r="10">
      <c r="A10" s="20" t="n">
        <v>600</v>
      </c>
      <c r="B10" s="21">
        <f>(Inputs!$B$22+Inputs!$B$23)/((600*0.15)-(600*Inputs!$B$19)+(Inputs!$B$17*Inputs!$B$18))</f>
        <v/>
      </c>
      <c r="C10" s="21">
        <f>(Inputs!$B$22+Inputs!$B$23)/((600*0.2)-(600*Inputs!$B$19)+(Inputs!$B$17*Inputs!$B$18))</f>
        <v/>
      </c>
      <c r="D10" s="21">
        <f>(Inputs!$B$22+Inputs!$B$23)/((600*0.25)-(600*Inputs!$B$19)+(Inputs!$B$17*Inputs!$B$18))</f>
        <v/>
      </c>
      <c r="E10" s="21">
        <f>(Inputs!$B$22+Inputs!$B$23)/((600*0.3)-(600*Inputs!$B$19)+(Inputs!$B$17*Inputs!$B$18))</f>
        <v/>
      </c>
    </row>
    <row r="11">
      <c r="A11" s="20" t="n">
        <v>900</v>
      </c>
      <c r="B11" s="21">
        <f>(Inputs!$B$22+Inputs!$B$23)/((900*0.15)-(900*Inputs!$B$19)+(Inputs!$B$17*Inputs!$B$18))</f>
        <v/>
      </c>
      <c r="C11" s="21">
        <f>(Inputs!$B$22+Inputs!$B$23)/((900*0.2)-(900*Inputs!$B$19)+(Inputs!$B$17*Inputs!$B$18))</f>
        <v/>
      </c>
      <c r="D11" s="21">
        <f>(Inputs!$B$22+Inputs!$B$23)/((900*0.25)-(900*Inputs!$B$19)+(Inputs!$B$17*Inputs!$B$18))</f>
        <v/>
      </c>
      <c r="E11" s="21">
        <f>(Inputs!$B$22+Inputs!$B$23)/((900*0.3)-(900*Inputs!$B$19)+(Inputs!$B$17*Inputs!$B$18))</f>
        <v/>
      </c>
    </row>
    <row r="12">
      <c r="A12" s="20" t="n">
        <v>1200</v>
      </c>
      <c r="B12" s="21">
        <f>(Inputs!$B$22+Inputs!$B$23)/((1200*0.15)-(1200*Inputs!$B$19)+(Inputs!$B$17*Inputs!$B$18))</f>
        <v/>
      </c>
      <c r="C12" s="21">
        <f>(Inputs!$B$22+Inputs!$B$23)/((1200*0.2)-(1200*Inputs!$B$19)+(Inputs!$B$17*Inputs!$B$18))</f>
        <v/>
      </c>
      <c r="D12" s="21">
        <f>(Inputs!$B$22+Inputs!$B$23)/((1200*0.25)-(1200*Inputs!$B$19)+(Inputs!$B$17*Inputs!$B$18))</f>
        <v/>
      </c>
      <c r="E12" s="21">
        <f>(Inputs!$B$22+Inputs!$B$23)/((1200*0.3)-(1200*Inputs!$B$19)+(Inputs!$B$17*Inputs!$B$18))</f>
        <v/>
      </c>
    </row>
    <row r="13">
      <c r="A13" s="20" t="n">
        <v>1500</v>
      </c>
      <c r="B13" s="21">
        <f>(Inputs!$B$22+Inputs!$B$23)/((1500*0.15)-(1500*Inputs!$B$19)+(Inputs!$B$17*Inputs!$B$18))</f>
        <v/>
      </c>
      <c r="C13" s="21">
        <f>(Inputs!$B$22+Inputs!$B$23)/((1500*0.2)-(1500*Inputs!$B$19)+(Inputs!$B$17*Inputs!$B$18))</f>
        <v/>
      </c>
      <c r="D13" s="21">
        <f>(Inputs!$B$22+Inputs!$B$23)/((1500*0.25)-(1500*Inputs!$B$19)+(Inputs!$B$17*Inputs!$B$18))</f>
        <v/>
      </c>
      <c r="E13" s="21">
        <f>(Inputs!$B$22+Inputs!$B$23)/((1500*0.3)-(1500*Inputs!$B$19)+(Inputs!$B$17*Inputs!$B$18))</f>
        <v/>
      </c>
    </row>
    <row r="14">
      <c r="A14" s="20" t="n">
        <v>2000</v>
      </c>
      <c r="B14" s="21">
        <f>(Inputs!$B$22+Inputs!$B$23)/((2000*0.15)-(2000*Inputs!$B$19)+(Inputs!$B$17*Inputs!$B$18))</f>
        <v/>
      </c>
      <c r="C14" s="21">
        <f>(Inputs!$B$22+Inputs!$B$23)/((2000*0.2)-(2000*Inputs!$B$19)+(Inputs!$B$17*Inputs!$B$18))</f>
        <v/>
      </c>
      <c r="D14" s="21">
        <f>(Inputs!$B$22+Inputs!$B$23)/((2000*0.25)-(2000*Inputs!$B$19)+(Inputs!$B$17*Inputs!$B$18))</f>
        <v/>
      </c>
      <c r="E14" s="21">
        <f>(Inputs!$B$22+Inputs!$B$23)/((2000*0.3)-(2000*Inputs!$B$19)+(Inputs!$B$17*Inputs!$B$18))</f>
        <v/>
      </c>
    </row>
    <row r="15">
      <c r="A15" s="20" t="n">
        <v>3000</v>
      </c>
      <c r="B15" s="21">
        <f>(Inputs!$B$22+Inputs!$B$23)/((3000*0.15)-(3000*Inputs!$B$19)+(Inputs!$B$17*Inputs!$B$18))</f>
        <v/>
      </c>
      <c r="C15" s="21">
        <f>(Inputs!$B$22+Inputs!$B$23)/((3000*0.2)-(3000*Inputs!$B$19)+(Inputs!$B$17*Inputs!$B$18))</f>
        <v/>
      </c>
      <c r="D15" s="21">
        <f>(Inputs!$B$22+Inputs!$B$23)/((3000*0.25)-(3000*Inputs!$B$19)+(Inputs!$B$17*Inputs!$B$18))</f>
        <v/>
      </c>
      <c r="E15" s="21">
        <f>(Inputs!$B$22+Inputs!$B$23)/((3000*0.3)-(3000*Inputs!$B$19)+(Inputs!$B$17*Inputs!$B$18))</f>
        <v/>
      </c>
    </row>
    <row r="17">
      <c r="A17" s="4" t="inlineStr">
        <is>
          <t>Read: number of print orders/month needed to break even at that AOV + take-rate combination.</t>
        </is>
      </c>
    </row>
    <row r="18">
      <c r="A18" s="4" t="inlineStr">
        <is>
          <t>Design attach rate and margin are pulled from Inputs — change them there to see impact.</t>
        </is>
      </c>
    </row>
  </sheetData>
  <mergeCells count="2">
    <mergeCell ref="A1:D1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8" customWidth="1" min="5" max="5"/>
    <col width="16" customWidth="1" min="6" max="6"/>
    <col width="18" customWidth="1" min="7" max="7"/>
    <col width="30" customWidth="1" min="8" max="8"/>
  </cols>
  <sheetData>
    <row r="1" ht="22" customHeight="1">
      <c r="A1" s="1" t="inlineStr">
        <is>
          <t>Concierge MVP — Kill Criteria Tracker (first 30 orders)</t>
        </is>
      </c>
    </row>
    <row r="3">
      <c r="A3" s="22" t="inlineStr">
        <is>
          <t>Order #</t>
        </is>
      </c>
      <c r="B3" s="22" t="inlineStr">
        <is>
          <t>Date</t>
        </is>
      </c>
      <c r="C3" s="22" t="inlineStr">
        <is>
          <t>Segment</t>
        </is>
      </c>
      <c r="D3" s="22" t="inlineStr">
        <is>
          <t>AOV (EGP)</t>
        </is>
      </c>
      <c r="E3" s="22" t="inlineStr">
        <is>
          <t>Payment Rail</t>
        </is>
      </c>
      <c r="F3" s="22" t="inlineStr">
        <is>
          <t>Repeat? (Y/N)</t>
        </is>
      </c>
      <c r="G3" s="22" t="inlineStr">
        <is>
          <t>Design attached?</t>
        </is>
      </c>
      <c r="H3" s="22" t="inlineStr">
        <is>
          <t>Notes</t>
        </is>
      </c>
    </row>
    <row r="4">
      <c r="A4" s="23" t="n">
        <v>1</v>
      </c>
      <c r="B4" s="23" t="n"/>
      <c r="C4" s="23" t="n"/>
      <c r="D4" s="23" t="n"/>
      <c r="E4" s="23" t="n"/>
      <c r="F4" s="23" t="n"/>
      <c r="G4" s="23" t="n"/>
      <c r="H4" s="23" t="n"/>
    </row>
    <row r="5">
      <c r="A5" s="23" t="n">
        <v>2</v>
      </c>
      <c r="B5" s="23" t="n"/>
      <c r="C5" s="23" t="n"/>
      <c r="D5" s="23" t="n"/>
      <c r="E5" s="23" t="n"/>
      <c r="F5" s="23" t="n"/>
      <c r="G5" s="23" t="n"/>
      <c r="H5" s="23" t="n"/>
    </row>
    <row r="6">
      <c r="A6" s="23" t="n">
        <v>3</v>
      </c>
      <c r="B6" s="23" t="n"/>
      <c r="C6" s="23" t="n"/>
      <c r="D6" s="23" t="n"/>
      <c r="E6" s="23" t="n"/>
      <c r="F6" s="23" t="n"/>
      <c r="G6" s="23" t="n"/>
      <c r="H6" s="23" t="n"/>
    </row>
    <row r="7">
      <c r="A7" s="23" t="n">
        <v>4</v>
      </c>
      <c r="B7" s="23" t="n"/>
      <c r="C7" s="23" t="n"/>
      <c r="D7" s="23" t="n"/>
      <c r="E7" s="23" t="n"/>
      <c r="F7" s="23" t="n"/>
      <c r="G7" s="23" t="n"/>
      <c r="H7" s="23" t="n"/>
    </row>
    <row r="8">
      <c r="A8" s="23" t="n">
        <v>5</v>
      </c>
      <c r="B8" s="23" t="n"/>
      <c r="C8" s="23" t="n"/>
      <c r="D8" s="23" t="n"/>
      <c r="E8" s="23" t="n"/>
      <c r="F8" s="23" t="n"/>
      <c r="G8" s="23" t="n"/>
      <c r="H8" s="23" t="n"/>
    </row>
    <row r="9">
      <c r="A9" s="23" t="n">
        <v>6</v>
      </c>
      <c r="B9" s="23" t="n"/>
      <c r="C9" s="23" t="n"/>
      <c r="D9" s="23" t="n"/>
      <c r="E9" s="23" t="n"/>
      <c r="F9" s="23" t="n"/>
      <c r="G9" s="23" t="n"/>
      <c r="H9" s="23" t="n"/>
    </row>
    <row r="10">
      <c r="A10" s="23" t="n">
        <v>7</v>
      </c>
      <c r="B10" s="23" t="n"/>
      <c r="C10" s="23" t="n"/>
      <c r="D10" s="23" t="n"/>
      <c r="E10" s="23" t="n"/>
      <c r="F10" s="23" t="n"/>
      <c r="G10" s="23" t="n"/>
      <c r="H10" s="23" t="n"/>
    </row>
    <row r="11">
      <c r="A11" s="23" t="n">
        <v>8</v>
      </c>
      <c r="B11" s="23" t="n"/>
      <c r="C11" s="23" t="n"/>
      <c r="D11" s="23" t="n"/>
      <c r="E11" s="23" t="n"/>
      <c r="F11" s="23" t="n"/>
      <c r="G11" s="23" t="n"/>
      <c r="H11" s="23" t="n"/>
    </row>
    <row r="12">
      <c r="A12" s="23" t="n">
        <v>9</v>
      </c>
      <c r="B12" s="23" t="n"/>
      <c r="C12" s="23" t="n"/>
      <c r="D12" s="23" t="n"/>
      <c r="E12" s="23" t="n"/>
      <c r="F12" s="23" t="n"/>
      <c r="G12" s="23" t="n"/>
      <c r="H12" s="23" t="n"/>
    </row>
    <row r="13">
      <c r="A13" s="23" t="n">
        <v>10</v>
      </c>
      <c r="B13" s="23" t="n"/>
      <c r="C13" s="23" t="n"/>
      <c r="D13" s="23" t="n"/>
      <c r="E13" s="23" t="n"/>
      <c r="F13" s="23" t="n"/>
      <c r="G13" s="23" t="n"/>
      <c r="H13" s="23" t="n"/>
    </row>
    <row r="14">
      <c r="A14" s="23" t="n">
        <v>11</v>
      </c>
      <c r="B14" s="23" t="n"/>
      <c r="C14" s="23" t="n"/>
      <c r="D14" s="23" t="n"/>
      <c r="E14" s="23" t="n"/>
      <c r="F14" s="23" t="n"/>
      <c r="G14" s="23" t="n"/>
      <c r="H14" s="23" t="n"/>
    </row>
    <row r="15">
      <c r="A15" s="23" t="n">
        <v>12</v>
      </c>
      <c r="B15" s="23" t="n"/>
      <c r="C15" s="23" t="n"/>
      <c r="D15" s="23" t="n"/>
      <c r="E15" s="23" t="n"/>
      <c r="F15" s="23" t="n"/>
      <c r="G15" s="23" t="n"/>
      <c r="H15" s="23" t="n"/>
    </row>
    <row r="16">
      <c r="A16" s="23" t="n">
        <v>13</v>
      </c>
      <c r="B16" s="23" t="n"/>
      <c r="C16" s="23" t="n"/>
      <c r="D16" s="23" t="n"/>
      <c r="E16" s="23" t="n"/>
      <c r="F16" s="23" t="n"/>
      <c r="G16" s="23" t="n"/>
      <c r="H16" s="23" t="n"/>
    </row>
    <row r="17">
      <c r="A17" s="23" t="n">
        <v>14</v>
      </c>
      <c r="B17" s="23" t="n"/>
      <c r="C17" s="23" t="n"/>
      <c r="D17" s="23" t="n"/>
      <c r="E17" s="23" t="n"/>
      <c r="F17" s="23" t="n"/>
      <c r="G17" s="23" t="n"/>
      <c r="H17" s="23" t="n"/>
    </row>
    <row r="18">
      <c r="A18" s="23" t="n">
        <v>15</v>
      </c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>
        <v>16</v>
      </c>
      <c r="B19" s="23" t="n"/>
      <c r="C19" s="23" t="n"/>
      <c r="D19" s="23" t="n"/>
      <c r="E19" s="23" t="n"/>
      <c r="F19" s="23" t="n"/>
      <c r="G19" s="23" t="n"/>
      <c r="H19" s="23" t="n"/>
    </row>
    <row r="20">
      <c r="A20" s="23" t="n">
        <v>17</v>
      </c>
      <c r="B20" s="23" t="n"/>
      <c r="C20" s="23" t="n"/>
      <c r="D20" s="23" t="n"/>
      <c r="E20" s="23" t="n"/>
      <c r="F20" s="23" t="n"/>
      <c r="G20" s="23" t="n"/>
      <c r="H20" s="23" t="n"/>
    </row>
    <row r="21">
      <c r="A21" s="23" t="n">
        <v>18</v>
      </c>
      <c r="B21" s="23" t="n"/>
      <c r="C21" s="23" t="n"/>
      <c r="D21" s="23" t="n"/>
      <c r="E21" s="23" t="n"/>
      <c r="F21" s="23" t="n"/>
      <c r="G21" s="23" t="n"/>
      <c r="H21" s="23" t="n"/>
    </row>
    <row r="22">
      <c r="A22" s="23" t="n">
        <v>19</v>
      </c>
      <c r="B22" s="23" t="n"/>
      <c r="C22" s="23" t="n"/>
      <c r="D22" s="23" t="n"/>
      <c r="E22" s="23" t="n"/>
      <c r="F22" s="23" t="n"/>
      <c r="G22" s="23" t="n"/>
      <c r="H22" s="23" t="n"/>
    </row>
    <row r="23">
      <c r="A23" s="23" t="n">
        <v>20</v>
      </c>
      <c r="B23" s="23" t="n"/>
      <c r="C23" s="23" t="n"/>
      <c r="D23" s="23" t="n"/>
      <c r="E23" s="23" t="n"/>
      <c r="F23" s="23" t="n"/>
      <c r="G23" s="23" t="n"/>
      <c r="H23" s="23" t="n"/>
    </row>
    <row r="24">
      <c r="A24" s="23" t="n">
        <v>21</v>
      </c>
      <c r="B24" s="23" t="n"/>
      <c r="C24" s="23" t="n"/>
      <c r="D24" s="23" t="n"/>
      <c r="E24" s="23" t="n"/>
      <c r="F24" s="23" t="n"/>
      <c r="G24" s="23" t="n"/>
      <c r="H24" s="23" t="n"/>
    </row>
    <row r="25">
      <c r="A25" s="23" t="n">
        <v>22</v>
      </c>
      <c r="B25" s="23" t="n"/>
      <c r="C25" s="23" t="n"/>
      <c r="D25" s="23" t="n"/>
      <c r="E25" s="23" t="n"/>
      <c r="F25" s="23" t="n"/>
      <c r="G25" s="23" t="n"/>
      <c r="H25" s="23" t="n"/>
    </row>
    <row r="26">
      <c r="A26" s="23" t="n">
        <v>23</v>
      </c>
      <c r="B26" s="23" t="n"/>
      <c r="C26" s="23" t="n"/>
      <c r="D26" s="23" t="n"/>
      <c r="E26" s="23" t="n"/>
      <c r="F26" s="23" t="n"/>
      <c r="G26" s="23" t="n"/>
      <c r="H26" s="23" t="n"/>
    </row>
    <row r="27">
      <c r="A27" s="23" t="n">
        <v>24</v>
      </c>
      <c r="B27" s="23" t="n"/>
      <c r="C27" s="23" t="n"/>
      <c r="D27" s="23" t="n"/>
      <c r="E27" s="23" t="n"/>
      <c r="F27" s="23" t="n"/>
      <c r="G27" s="23" t="n"/>
      <c r="H27" s="23" t="n"/>
    </row>
    <row r="28">
      <c r="A28" s="23" t="n">
        <v>25</v>
      </c>
      <c r="B28" s="23" t="n"/>
      <c r="C28" s="23" t="n"/>
      <c r="D28" s="23" t="n"/>
      <c r="E28" s="23" t="n"/>
      <c r="F28" s="23" t="n"/>
      <c r="G28" s="23" t="n"/>
      <c r="H28" s="23" t="n"/>
    </row>
    <row r="29">
      <c r="A29" s="23" t="n">
        <v>26</v>
      </c>
      <c r="B29" s="23" t="n"/>
      <c r="C29" s="23" t="n"/>
      <c r="D29" s="23" t="n"/>
      <c r="E29" s="23" t="n"/>
      <c r="F29" s="23" t="n"/>
      <c r="G29" s="23" t="n"/>
      <c r="H29" s="23" t="n"/>
    </row>
    <row r="30">
      <c r="A30" s="23" t="n">
        <v>27</v>
      </c>
      <c r="B30" s="23" t="n"/>
      <c r="C30" s="23" t="n"/>
      <c r="D30" s="23" t="n"/>
      <c r="E30" s="23" t="n"/>
      <c r="F30" s="23" t="n"/>
      <c r="G30" s="23" t="n"/>
      <c r="H30" s="23" t="n"/>
    </row>
    <row r="31">
      <c r="A31" s="23" t="n">
        <v>28</v>
      </c>
      <c r="B31" s="23" t="n"/>
      <c r="C31" s="23" t="n"/>
      <c r="D31" s="23" t="n"/>
      <c r="E31" s="23" t="n"/>
      <c r="F31" s="23" t="n"/>
      <c r="G31" s="23" t="n"/>
      <c r="H31" s="23" t="n"/>
    </row>
    <row r="32">
      <c r="A32" s="23" t="n">
        <v>29</v>
      </c>
      <c r="B32" s="23" t="n"/>
      <c r="C32" s="23" t="n"/>
      <c r="D32" s="23" t="n"/>
      <c r="E32" s="23" t="n"/>
      <c r="F32" s="23" t="n"/>
      <c r="G32" s="23" t="n"/>
      <c r="H32" s="23" t="n"/>
    </row>
    <row r="33">
      <c r="A33" s="23" t="n">
        <v>30</v>
      </c>
      <c r="B33" s="23" t="n"/>
      <c r="C33" s="23" t="n"/>
      <c r="D33" s="23" t="n"/>
      <c r="E33" s="23" t="n"/>
      <c r="F33" s="23" t="n"/>
      <c r="G33" s="23" t="n"/>
      <c r="H33" s="23" t="n"/>
    </row>
    <row r="35">
      <c r="A35" s="24" t="inlineStr">
        <is>
          <t>SUMMARY</t>
        </is>
      </c>
    </row>
    <row r="36">
      <c r="A36" s="8" t="inlineStr">
        <is>
          <t>Avg AOV (EGP)</t>
        </is>
      </c>
      <c r="B36" s="13">
        <f>IFERROR(AVERAGE(D4:D33),"no data")</f>
        <v/>
      </c>
    </row>
    <row r="37">
      <c r="A37" s="8" t="inlineStr">
        <is>
          <t>Repeat rate</t>
        </is>
      </c>
      <c r="B37" s="25">
        <f>IFERROR(COUNTIF(F4:F33,"Y")/COUNTA(F4:F33),"no data")</f>
        <v/>
      </c>
    </row>
    <row r="38">
      <c r="A38" s="8" t="inlineStr">
        <is>
          <t>Design attach rate</t>
        </is>
      </c>
      <c r="B38" s="25">
        <f>IFERROR(COUNTIF(G4:G33,"Y")/COUNTA(G4:G33),"no data")</f>
        <v/>
      </c>
    </row>
    <row r="39">
      <c r="A39" s="8" t="inlineStr">
        <is>
          <t>Total orders</t>
        </is>
      </c>
      <c r="B39" s="26">
        <f>COUNTA(A4:A33)</f>
        <v/>
      </c>
    </row>
    <row r="41">
      <c r="A41" s="4" t="inlineStr">
        <is>
          <t>Kill criteria: Repeat rate &gt;= 30%  |  AOV &gt;= 800 EGP  |  Design attach &gt;= 20%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2026-06-17T02:44:36Z</dcterms:created>
  <dcterms:modified xsi:type="dcterms:W3CDTF">2026-06-17T02:44:36Z</dcterms:modified>
</cp:coreProperties>
</file>